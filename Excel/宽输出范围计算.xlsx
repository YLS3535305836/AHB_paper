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小米云盘\毕业相关\LATEX\tamako-paper\Excel\"/>
    </mc:Choice>
  </mc:AlternateContent>
  <xr:revisionPtr revIDLastSave="0" documentId="13_ncr:1_{4D420C36-46D6-4F0C-A060-BC5B8FA5C1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I9" i="1"/>
  <c r="H9" i="1"/>
  <c r="G9" i="1"/>
  <c r="F9" i="1"/>
  <c r="E9" i="1"/>
</calcChain>
</file>

<file path=xl/sharedStrings.xml><?xml version="1.0" encoding="utf-8"?>
<sst xmlns="http://schemas.openxmlformats.org/spreadsheetml/2006/main" count="30" uniqueCount="20">
  <si>
    <t>VCSP1</t>
    <phoneticPr fontId="1" type="noConversion"/>
  </si>
  <si>
    <t>VCSP2</t>
    <phoneticPr fontId="1" type="noConversion"/>
  </si>
  <si>
    <t>Vo1</t>
    <phoneticPr fontId="1" type="noConversion"/>
  </si>
  <si>
    <t>Vo2</t>
    <phoneticPr fontId="1" type="noConversion"/>
  </si>
  <si>
    <t>0.5A</t>
    <phoneticPr fontId="1" type="noConversion"/>
  </si>
  <si>
    <t>1A</t>
    <phoneticPr fontId="1" type="noConversion"/>
  </si>
  <si>
    <t>1.5A</t>
    <phoneticPr fontId="1" type="noConversion"/>
  </si>
  <si>
    <t>2A</t>
    <phoneticPr fontId="1" type="noConversion"/>
  </si>
  <si>
    <t>2.5A</t>
    <phoneticPr fontId="1" type="noConversion"/>
  </si>
  <si>
    <t>VIN</t>
    <phoneticPr fontId="1" type="noConversion"/>
  </si>
  <si>
    <t>N</t>
    <phoneticPr fontId="1" type="noConversion"/>
  </si>
  <si>
    <t>Iout</t>
    <phoneticPr fontId="1" type="noConversion"/>
  </si>
  <si>
    <t>Vo</t>
    <phoneticPr fontId="1" type="noConversion"/>
  </si>
  <si>
    <t>VS</t>
    <phoneticPr fontId="1" type="noConversion"/>
  </si>
  <si>
    <t>Tw(us)</t>
    <phoneticPr fontId="1" type="noConversion"/>
  </si>
  <si>
    <t>VCSP(mV)</t>
    <phoneticPr fontId="1" type="noConversion"/>
  </si>
  <si>
    <t>5A</t>
    <phoneticPr fontId="1" type="noConversion"/>
  </si>
  <si>
    <t>VIN</t>
    <phoneticPr fontId="1" type="noConversion"/>
  </si>
  <si>
    <t>Vcr1</t>
    <phoneticPr fontId="1" type="noConversion"/>
  </si>
  <si>
    <t>Vcr2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</si>
</sst>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389283</xdr:colOff>
      <xdr:row>3</xdr:row>
      <xdr:rowOff>165653</xdr:rowOff>
    </xdr:from>
    <xdr:to>
      <xdr:col>13</xdr:col>
      <xdr:colOff>144946</xdr:colOff>
      <xdr:row>7</xdr:row>
      <xdr:rowOff>36509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2D16254-9FC4-3B17-723C-677E25683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674" y="699882"/>
          <a:ext cx="2339837" cy="583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P31"/>
  <sheetViews>
    <sheetView tabSelected="1" zoomScale="160" zoomScaleNormal="160" workbookViewId="0">
      <selection activeCell="P7" sqref="P7"/>
    </sheetView>
  </sheetViews>
  <sheetFormatPr defaultRowHeight="14.25" x14ac:dyDescent="0.2"/>
  <sheetData>
    <row r="3" spans="3:16" x14ac:dyDescent="0.2">
      <c r="D3" s="1" t="s">
        <v>10</v>
      </c>
      <c r="E3" s="4">
        <v>7</v>
      </c>
      <c r="F3" s="4">
        <v>7</v>
      </c>
      <c r="G3" s="4">
        <v>7</v>
      </c>
      <c r="H3" s="4">
        <v>7</v>
      </c>
      <c r="I3" s="4">
        <v>7</v>
      </c>
    </row>
    <row r="4" spans="3:16" x14ac:dyDescent="0.2">
      <c r="D4" s="1" t="s">
        <v>9</v>
      </c>
      <c r="E4" s="4">
        <v>400</v>
      </c>
      <c r="F4" s="4">
        <v>400</v>
      </c>
      <c r="G4" s="4">
        <v>400</v>
      </c>
      <c r="H4" s="4">
        <v>400</v>
      </c>
      <c r="I4" s="4">
        <v>400</v>
      </c>
      <c r="O4" t="s">
        <v>17</v>
      </c>
      <c r="P4">
        <v>400</v>
      </c>
    </row>
    <row r="5" spans="3:16" x14ac:dyDescent="0.2">
      <c r="D5" s="1" t="s">
        <v>2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O5" t="s">
        <v>18</v>
      </c>
      <c r="P5">
        <v>127.3</v>
      </c>
    </row>
    <row r="6" spans="3:16" x14ac:dyDescent="0.2">
      <c r="D6" s="1" t="s">
        <v>3</v>
      </c>
      <c r="E6" s="4">
        <v>20</v>
      </c>
      <c r="F6" s="4">
        <v>20</v>
      </c>
      <c r="G6" s="4">
        <v>20</v>
      </c>
      <c r="H6" s="4">
        <v>20</v>
      </c>
      <c r="I6" s="4">
        <v>20</v>
      </c>
      <c r="O6" t="s">
        <v>19</v>
      </c>
      <c r="P6">
        <v>30.1</v>
      </c>
    </row>
    <row r="7" spans="3:16" x14ac:dyDescent="0.2">
      <c r="D7" s="1" t="s">
        <v>11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P7">
        <f>(P4-P5)*4/(P4-P6)</f>
        <v>2.948905109489051</v>
      </c>
    </row>
    <row r="8" spans="3:16" x14ac:dyDescent="0.2">
      <c r="D8" s="1" t="s">
        <v>0</v>
      </c>
      <c r="E8" s="2">
        <v>96.5</v>
      </c>
      <c r="F8" s="2">
        <v>114</v>
      </c>
      <c r="G8" s="2">
        <v>140.75</v>
      </c>
      <c r="H8" s="2">
        <v>130.5</v>
      </c>
      <c r="I8" s="2">
        <v>206</v>
      </c>
    </row>
    <row r="9" spans="3:16" x14ac:dyDescent="0.2">
      <c r="D9" s="1" t="s">
        <v>1</v>
      </c>
      <c r="E9" s="2">
        <f>E8*4*(E4-E3*E6)/(E4-E3*E5)</f>
        <v>274.95890410958901</v>
      </c>
      <c r="F9" s="2">
        <f>F8*4*(F4-F3*F6)/(F4-F3*F5)</f>
        <v>324.82191780821915</v>
      </c>
      <c r="G9" s="2">
        <f>G8*4*(G4-G3*G6)/(G4-G3*G5)</f>
        <v>401.04109589041099</v>
      </c>
      <c r="H9" s="2">
        <f>H8*4*(H4-H3*H6)/(H4-H3*H5)</f>
        <v>371.83561643835617</v>
      </c>
      <c r="I9" s="2">
        <f>I8*4*(I4-I3*I6)/(I4-I3*I5)</f>
        <v>586.95890410958907</v>
      </c>
    </row>
    <row r="14" spans="3:16" x14ac:dyDescent="0.2"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15</v>
      </c>
      <c r="H14" s="5"/>
      <c r="I14" s="5" t="s">
        <v>12</v>
      </c>
      <c r="J14" s="5" t="s">
        <v>13</v>
      </c>
      <c r="K14" s="5" t="s">
        <v>14</v>
      </c>
      <c r="L14" s="5" t="s">
        <v>15</v>
      </c>
    </row>
    <row r="15" spans="3:16" x14ac:dyDescent="0.2">
      <c r="C15" s="5" t="s">
        <v>4</v>
      </c>
      <c r="D15" s="5">
        <v>5</v>
      </c>
      <c r="E15" s="5">
        <v>27</v>
      </c>
      <c r="F15" s="5">
        <v>24.4</v>
      </c>
      <c r="G15" s="5">
        <v>96.5</v>
      </c>
      <c r="H15" s="5"/>
      <c r="I15" s="5">
        <v>20</v>
      </c>
      <c r="J15" s="5"/>
      <c r="K15" s="5"/>
      <c r="L15" s="5"/>
    </row>
    <row r="16" spans="3:16" x14ac:dyDescent="0.2">
      <c r="C16" s="5" t="s">
        <v>5</v>
      </c>
      <c r="D16" s="5">
        <v>5</v>
      </c>
      <c r="E16" s="5">
        <v>27</v>
      </c>
      <c r="F16" s="5"/>
      <c r="G16" s="5"/>
      <c r="H16" s="5"/>
      <c r="I16" s="5">
        <v>20</v>
      </c>
      <c r="J16" s="5"/>
      <c r="K16" s="5"/>
      <c r="L16" s="5"/>
    </row>
    <row r="17" spans="3:12" x14ac:dyDescent="0.2">
      <c r="C17" s="5" t="s">
        <v>6</v>
      </c>
      <c r="D17" s="5">
        <v>5</v>
      </c>
      <c r="E17" s="5">
        <v>16</v>
      </c>
      <c r="F17" s="5">
        <v>14.5</v>
      </c>
      <c r="G17" s="5">
        <v>140.75</v>
      </c>
      <c r="H17" s="5"/>
      <c r="I17" s="5">
        <v>20</v>
      </c>
      <c r="J17" s="5"/>
      <c r="K17" s="5"/>
      <c r="L17" s="5"/>
    </row>
    <row r="18" spans="3:12" x14ac:dyDescent="0.2">
      <c r="C18" s="5" t="s">
        <v>7</v>
      </c>
      <c r="D18" s="5">
        <v>5</v>
      </c>
      <c r="E18" s="5"/>
      <c r="F18" s="5"/>
      <c r="G18" s="5"/>
      <c r="H18" s="5"/>
      <c r="I18" s="5">
        <v>20</v>
      </c>
      <c r="J18" s="5"/>
      <c r="K18" s="5"/>
      <c r="L18" s="5"/>
    </row>
    <row r="19" spans="3:12" x14ac:dyDescent="0.2">
      <c r="C19" s="5" t="s">
        <v>8</v>
      </c>
      <c r="D19" s="5">
        <v>5</v>
      </c>
      <c r="E19" s="5">
        <v>1</v>
      </c>
      <c r="F19" s="5">
        <v>2.4820000000000002</v>
      </c>
      <c r="G19" s="5">
        <v>130.5</v>
      </c>
      <c r="H19" s="5"/>
      <c r="I19" s="5">
        <v>20</v>
      </c>
      <c r="J19" s="5"/>
      <c r="K19" s="5"/>
      <c r="L19" s="5"/>
    </row>
    <row r="20" spans="3:12" x14ac:dyDescent="0.2">
      <c r="C20" s="5" t="s">
        <v>16</v>
      </c>
      <c r="D20" s="5">
        <v>5</v>
      </c>
      <c r="E20" s="5">
        <v>1</v>
      </c>
      <c r="F20" s="5">
        <v>3.9430000000000001</v>
      </c>
      <c r="G20" s="5">
        <v>206</v>
      </c>
      <c r="H20" s="5"/>
      <c r="I20" s="5">
        <v>20</v>
      </c>
      <c r="J20" s="5"/>
      <c r="K20" s="5"/>
      <c r="L20" s="5"/>
    </row>
    <row r="21" spans="3:12" x14ac:dyDescent="0.2"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3:12" x14ac:dyDescent="0.2"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3:12" x14ac:dyDescent="0.2"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3:12" x14ac:dyDescent="0.2"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3:12" x14ac:dyDescent="0.2"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3:12" x14ac:dyDescent="0.2"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3:12" x14ac:dyDescent="0.2"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3:12" x14ac:dyDescent="0.2"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3:12" x14ac:dyDescent="0.2"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3:12" x14ac:dyDescent="0.2"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3:12" x14ac:dyDescent="0.2"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杨林森</dc:creator>
  <cp:lastModifiedBy>林森 杨</cp:lastModifiedBy>
  <dcterms:created xsi:type="dcterms:W3CDTF">2015-06-05T18:19:34Z</dcterms:created>
  <dcterms:modified xsi:type="dcterms:W3CDTF">2025-03-07T19:24:53Z</dcterms:modified>
</cp:coreProperties>
</file>